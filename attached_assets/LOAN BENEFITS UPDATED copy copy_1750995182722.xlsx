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0"/>
  <workbookPr/>
  <mc:AlternateContent xmlns:mc="http://schemas.openxmlformats.org/markup-compatibility/2006">
    <mc:Choice Requires="x15">
      <x15ac:absPath xmlns:x15ac="http://schemas.microsoft.com/office/spreadsheetml/2010/11/ac" url="C:\Users\mykoa\Downloads\"/>
    </mc:Choice>
  </mc:AlternateContent>
  <xr:revisionPtr revIDLastSave="0" documentId="8_{51F7BA82-001A-D846-8D4F-A39A5F8D8DC9}" xr6:coauthVersionLast="47" xr6:coauthVersionMax="47" xr10:uidLastSave="{00000000-0000-0000-0000-000000000000}"/>
  <bookViews>
    <workbookView xWindow="-110" yWindow="-110" windowWidth="19420" windowHeight="10300" firstSheet="3" activeTab="3" xr2:uid="{00000000-000D-0000-FFFF-FFFF00000000}"/>
  </bookViews>
  <sheets>
    <sheet name="Debt Payoff Calculator" sheetId="3" r:id="rId1"/>
    <sheet name="Loan Calculator" sheetId="1" r:id="rId2"/>
    <sheet name="Summary Chart" sheetId="2" r:id="rId3"/>
    <sheet name="Debt Summary" sheetId="4" r:id="rId4"/>
  </sheets>
  <definedNames>
    <definedName name="_xlnm.Print_Area" localSheetId="3">'Debt Summary'!$A$1:$C$67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 l="1"/>
  <c r="C2" i="4"/>
  <c r="B17" i="3"/>
  <c r="B6" i="2"/>
  <c r="C11" i="4"/>
  <c r="C19" i="4"/>
  <c r="C9" i="4"/>
  <c r="B9" i="4"/>
  <c r="D2" i="1"/>
  <c r="F2" i="1"/>
  <c r="B7" i="2"/>
  <c r="C4" i="4"/>
  <c r="C12" i="4"/>
  <c r="C21" i="4"/>
  <c r="B8" i="2"/>
  <c r="G2" i="1"/>
  <c r="H2" i="1"/>
  <c r="I2" i="1"/>
  <c r="J2" i="1"/>
  <c r="B9" i="2"/>
  <c r="B10" i="2"/>
  <c r="B3" i="2"/>
  <c r="C18" i="3"/>
  <c r="B2" i="2"/>
  <c r="C13" i="4"/>
  <c r="C16" i="4"/>
  <c r="C17" i="4"/>
  <c r="C15" i="4"/>
  <c r="B4" i="2"/>
</calcChain>
</file>

<file path=xl/sharedStrings.xml><?xml version="1.0" encoding="utf-8"?>
<sst xmlns="http://schemas.openxmlformats.org/spreadsheetml/2006/main" count="56" uniqueCount="52">
  <si>
    <t>Creditor</t>
  </si>
  <si>
    <t>Monthly Payment ($)</t>
  </si>
  <si>
    <t>Balance ($)</t>
  </si>
  <si>
    <t>MORTGAGE</t>
  </si>
  <si>
    <t>SOLAR</t>
  </si>
  <si>
    <t xml:space="preserve">Monthly </t>
  </si>
  <si>
    <t>Balance</t>
  </si>
  <si>
    <t>Loan Amount ($)</t>
  </si>
  <si>
    <t>Loan Term (Years)</t>
  </si>
  <si>
    <t>Interest Rate (%)</t>
  </si>
  <si>
    <t>Principal &amp; Interest Payment ($)</t>
  </si>
  <si>
    <t>Escrow Payment ($)</t>
  </si>
  <si>
    <t>Total Payment ($)</t>
  </si>
  <si>
    <t>MONTHLY SAVINGS  ($)</t>
  </si>
  <si>
    <t>Early Payoff (Years)</t>
  </si>
  <si>
    <t>Total Interest Saved ($)</t>
  </si>
  <si>
    <t>Effective Interest Rate (Adjusted %)</t>
  </si>
  <si>
    <t>Interest Type</t>
  </si>
  <si>
    <t>Amount</t>
  </si>
  <si>
    <t>Original Interest</t>
  </si>
  <si>
    <t>Interest Saved</t>
  </si>
  <si>
    <t>New Interest</t>
  </si>
  <si>
    <t>Old Monthly Payments (Debts)</t>
  </si>
  <si>
    <t>New Monthly Mortgage Payment</t>
  </si>
  <si>
    <t>Monthly Savings</t>
  </si>
  <si>
    <t>Adjusted Effective Interest Rate (%)</t>
  </si>
  <si>
    <t>Loan Pays Off In (Years)</t>
  </si>
  <si>
    <t>(NO PRE-PAYMENT PENALTY)</t>
  </si>
  <si>
    <t>2 SKIPPED PAYMENTS</t>
  </si>
  <si>
    <t>Cc</t>
  </si>
  <si>
    <t xml:space="preserve">Total Accumulated Cash to you upon completion </t>
  </si>
  <si>
    <t>CREDITOR</t>
  </si>
  <si>
    <t>BALANCE</t>
  </si>
  <si>
    <t>PAYMENT</t>
  </si>
  <si>
    <t xml:space="preserve">ROCKET MORTGAGE	</t>
  </si>
  <si>
    <t>Totals</t>
  </si>
  <si>
    <t xml:space="preserve">                                         DEBTS &amp; MORTGAGES INCLUDED:</t>
  </si>
  <si>
    <t xml:space="preserve">                                         MONYHLY PAYMENT OVERVIEW:</t>
  </si>
  <si>
    <t xml:space="preserve">                                         END RESULT:</t>
  </si>
  <si>
    <r>
      <rPr>
        <b/>
        <sz val="16"/>
        <color rgb="FFFFFFFF"/>
        <rFont val="Calibri"/>
      </rPr>
      <t xml:space="preserve">                                         IF </t>
    </r>
    <r>
      <rPr>
        <b/>
        <u/>
        <sz val="16"/>
        <color rgb="FFFFFFFF"/>
        <rFont val="Calibri"/>
      </rPr>
      <t>SAVINGS</t>
    </r>
    <r>
      <rPr>
        <b/>
        <sz val="16"/>
        <color rgb="FFFFFFFF"/>
        <rFont val="Calibri"/>
      </rPr>
      <t xml:space="preserve"> APPLIED </t>
    </r>
    <r>
      <rPr>
        <b/>
        <u/>
        <sz val="16"/>
        <color rgb="FFFFFFFF"/>
        <rFont val="Calibri"/>
      </rPr>
      <t xml:space="preserve">BACK </t>
    </r>
    <r>
      <rPr>
        <b/>
        <sz val="16"/>
        <color rgb="FFFFFFFF"/>
        <rFont val="Calibri"/>
      </rPr>
      <t>TO LOAN:</t>
    </r>
  </si>
  <si>
    <t>(+)</t>
  </si>
  <si>
    <t>(-)</t>
  </si>
  <si>
    <t>(=)</t>
  </si>
  <si>
    <t xml:space="preserve">Net Effective Interest Rate (%) </t>
  </si>
  <si>
    <t xml:space="preserve"> ESCROW RESERVE REFUND</t>
  </si>
  <si>
    <t xml:space="preserve">Additional Interest savings </t>
  </si>
  <si>
    <t>COMPLETE BENEFITS OVERVIEW - (ROUGH DRAFT)</t>
  </si>
  <si>
    <r>
      <rPr>
        <b/>
        <u/>
        <sz val="16"/>
        <color rgb="FF000000"/>
        <rFont val="Calibri"/>
        <scheme val="minor"/>
      </rPr>
      <t xml:space="preserve">New </t>
    </r>
    <r>
      <rPr>
        <b/>
        <sz val="16"/>
        <color rgb="FF000000"/>
        <rFont val="Calibri"/>
        <scheme val="minor"/>
      </rPr>
      <t>Total Monthly Payment</t>
    </r>
  </si>
  <si>
    <r>
      <rPr>
        <b/>
        <u/>
        <sz val="16"/>
        <color rgb="FF000000"/>
        <rFont val="Calibri"/>
      </rPr>
      <t xml:space="preserve">Current Total </t>
    </r>
    <r>
      <rPr>
        <b/>
        <sz val="16"/>
        <color rgb="FF000000"/>
        <rFont val="Calibri"/>
      </rPr>
      <t>Monthly Payments</t>
    </r>
  </si>
  <si>
    <t>New Total Monthly Payment</t>
  </si>
  <si>
    <t xml:space="preserve"> 30 YEAR 3/1 ARM</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</si>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</sst>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0.0&quot;%&quot;"/>
    <numFmt numFmtId="166" formatCode="0.0"/>
  </numFmts>
  <fonts count="20" x14ac:knownFonts="1">
    <font>
      <sz val="11"/>
      <color theme="1"/>
      <name val="Calibri"/>
      <family val="2"/>
      <scheme val="minor"/>
    </font>
    <font>
      <b/>
      <sz val="11"/>
      <color rgb="FFFFFFFF"/>
      <name val="Calibri"/>
    </font>
    <font>
      <b/>
      <sz val="16"/>
      <color rgb="FFFFFFFF"/>
      <name val="Calibri"/>
    </font>
    <font>
      <b/>
      <sz val="16"/>
      <color theme="1"/>
      <name val="Calibri"/>
      <family val="2"/>
      <scheme val="minor"/>
    </font>
    <font>
      <sz val="10"/>
      <color rgb="FF656565"/>
      <name val="Poppins"/>
      <charset val="77"/>
    </font>
    <font>
      <b/>
      <sz val="10"/>
      <color rgb="FF656565"/>
      <name val="Poppins"/>
      <charset val="77"/>
    </font>
    <font>
      <b/>
      <sz val="18"/>
      <color theme="0"/>
      <name val="Calibri"/>
    </font>
    <font>
      <b/>
      <sz val="11"/>
      <color theme="1"/>
      <name val="Calibri"/>
      <family val="2"/>
      <scheme val="minor"/>
    </font>
    <font>
      <b/>
      <u/>
      <sz val="16"/>
      <color theme="1"/>
      <name val="Calibri"/>
      <family val="2"/>
      <scheme val="minor"/>
    </font>
    <font>
      <b/>
      <sz val="16"/>
      <color rgb="FF000000"/>
      <name val="Calibri"/>
    </font>
    <font>
      <b/>
      <sz val="18"/>
      <color rgb="FFFFFFFF"/>
      <name val="Calibri"/>
    </font>
    <font>
      <b/>
      <u/>
      <sz val="16"/>
      <color rgb="FFFFFFFF"/>
      <name val="Calibri"/>
    </font>
    <font>
      <b/>
      <u/>
      <sz val="16"/>
      <color rgb="FF000000"/>
      <name val="Calibri"/>
    </font>
    <font>
      <b/>
      <u/>
      <sz val="16"/>
      <color rgb="FF00B050"/>
      <name val="Calibri"/>
      <family val="2"/>
      <scheme val="minor"/>
    </font>
    <font>
      <b/>
      <sz val="16"/>
      <color theme="1"/>
      <name val="Calibri"/>
    </font>
    <font>
      <b/>
      <u/>
      <sz val="16"/>
      <color theme="1"/>
      <name val="Calibri"/>
    </font>
    <font>
      <b/>
      <u/>
      <sz val="16"/>
      <color rgb="FF000000"/>
      <name val="Calibri"/>
      <family val="2"/>
      <scheme val="minor"/>
    </font>
    <font>
      <b/>
      <u/>
      <sz val="16"/>
      <color rgb="FF000000"/>
      <name val="Calibri"/>
      <scheme val="minor"/>
    </font>
    <font>
      <b/>
      <sz val="16"/>
      <color rgb="FF000000"/>
      <name val="Calibri"/>
      <scheme val="minor"/>
    </font>
    <font>
      <b/>
      <sz val="16"/>
      <color rgb="FF000000"/>
      <name val="Calibri"/>
      <family val="2"/>
      <scheme val="minor"/>
    </font>
  </fonts>
  <fills count="5">
    <fill>
      <patternFill patternType="none"/>
    </fill>
    <fill>
      <patternFill patternType="gray125"/>
    </fill>
    <fill>
      <patternFill patternType="solid">
        <fgColor rgb="FF4F81BD"/>
        <bgColor rgb="FF4F81BD"/>
      </patternFill>
    </fill>
    <fill>
      <patternFill patternType="solid">
        <fgColor theme="3" tint="0.39997558519241921"/>
        <bgColor indexed="64"/>
      </patternFill>
    </fill>
    <fill>
      <patternFill patternType="solid">
        <fgColor rgb="FFFFFFFF"/>
        <bgColor rgb="FF000000"/>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4">
    <xf numFmtId="0" fontId="0" fillId="0" borderId="0" xfId="0"/>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1" fontId="0" fillId="0" borderId="0" xfId="0" applyNumberFormat="1"/>
    <xf numFmtId="164" fontId="0" fillId="0" borderId="0" xfId="0" applyNumberFormat="1"/>
    <xf numFmtId="165" fontId="0" fillId="0" borderId="0" xfId="0" applyNumberFormat="1"/>
    <xf numFmtId="165" fontId="0" fillId="0" borderId="0" xfId="0" applyNumberFormat="1" applyAlignment="1">
      <alignment horizontal="center"/>
    </xf>
    <xf numFmtId="166" fontId="0" fillId="0" borderId="0" xfId="0" applyNumberFormat="1"/>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1" fillId="2" borderId="0" xfId="0" applyFont="1" applyFill="1" applyAlignment="1">
      <alignment horizontal="center"/>
    </xf>
    <xf numFmtId="0" fontId="3" fillId="0" borderId="0" xfId="0" applyFont="1" applyAlignment="1">
      <alignment horizontal="center" vertical="center"/>
    </xf>
    <xf numFmtId="164" fontId="3" fillId="0" borderId="0" xfId="0" applyNumberFormat="1" applyFont="1" applyAlignment="1">
      <alignment horizontal="center" vertical="center"/>
    </xf>
    <xf numFmtId="0" fontId="4" fillId="4" borderId="2" xfId="0" applyFont="1" applyFill="1" applyBorder="1" applyAlignment="1">
      <alignment wrapText="1"/>
    </xf>
    <xf numFmtId="8" fontId="4" fillId="4" borderId="2" xfId="0" applyNumberFormat="1" applyFont="1" applyFill="1" applyBorder="1" applyAlignment="1">
      <alignment wrapText="1"/>
    </xf>
    <xf numFmtId="8" fontId="5" fillId="4" borderId="2" xfId="0" applyNumberFormat="1" applyFont="1" applyFill="1" applyBorder="1" applyAlignment="1">
      <alignment wrapText="1"/>
    </xf>
    <xf numFmtId="0" fontId="6" fillId="3" borderId="0" xfId="0" applyFont="1" applyFill="1" applyAlignment="1">
      <alignment horizontal="center" vertical="center"/>
    </xf>
    <xf numFmtId="164" fontId="8" fillId="0" borderId="0" xfId="0" applyNumberFormat="1" applyFont="1" applyAlignment="1">
      <alignment horizontal="center" vertical="center"/>
    </xf>
    <xf numFmtId="164" fontId="3" fillId="0" borderId="0" xfId="0" applyNumberFormat="1" applyFont="1" applyFill="1" applyAlignment="1">
      <alignment horizontal="center" vertical="center"/>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7" fillId="0" borderId="0" xfId="0" applyFont="1" applyAlignment="1">
      <alignment horizontal="center" vertical="center"/>
    </xf>
    <xf numFmtId="0" fontId="10" fillId="3" borderId="0" xfId="0" applyFont="1" applyFill="1" applyAlignment="1">
      <alignment horizontal="center" vertical="center"/>
    </xf>
    <xf numFmtId="0" fontId="8" fillId="0" borderId="0" xfId="0" applyFont="1" applyAlignment="1">
      <alignment horizontal="center" vertical="center"/>
    </xf>
    <xf numFmtId="164" fontId="13" fillId="0" borderId="0" xfId="0" applyNumberFormat="1" applyFont="1" applyAlignment="1">
      <alignment horizontal="center" vertical="center"/>
    </xf>
    <xf numFmtId="0" fontId="14" fillId="0" borderId="0" xfId="0" applyFont="1" applyFill="1" applyAlignment="1">
      <alignment horizontal="center"/>
    </xf>
    <xf numFmtId="0" fontId="15" fillId="0" borderId="0" xfId="0" applyFont="1" applyFill="1" applyAlignment="1">
      <alignment horizontal="center"/>
    </xf>
    <xf numFmtId="164" fontId="14" fillId="0" borderId="0" xfId="0" applyNumberFormat="1" applyFont="1" applyFill="1" applyAlignment="1">
      <alignment horizontal="center"/>
    </xf>
    <xf numFmtId="0" fontId="16" fillId="0" borderId="0" xfId="0" applyFont="1" applyAlignment="1">
      <alignment horizontal="center" vertical="center"/>
    </xf>
    <xf numFmtId="0" fontId="7" fillId="0" borderId="0" xfId="0" applyFont="1" applyAlignment="1">
      <alignment horizontal="center"/>
    </xf>
    <xf numFmtId="0" fontId="19" fillId="0" borderId="0" xfId="0" applyFont="1" applyAlignment="1">
      <alignment horizontal="center" vertical="center"/>
    </xf>
    <xf numFmtId="0" fontId="9" fillId="0" borderId="0" xfId="0" applyFont="1" applyAlignment="1">
      <alignment horizontal="center" vertical="center"/>
    </xf>
    <xf numFmtId="0" fontId="2" fillId="3" borderId="0" xfId="0" applyFont="1" applyFill="1" applyAlignment="1">
      <alignment horizontal="center"/>
    </xf>
  </cellXfs>
  <cellStyles count="1">
    <cellStyle name="Normal" xfId="0" builtinId="0"/>
  </cellStyles>
  <dxfs count="2">
    <dxf>
      <font>
        <b val="0"/>
        <i val="0"/>
        <strike val="0"/>
        <condense val="0"/>
        <extend val="0"/>
        <outline val="0"/>
        <shadow val="0"/>
        <u val="none"/>
        <vertAlign val="baseline"/>
        <sz val="10"/>
        <color rgb="FF656565"/>
        <name val="Poppins"/>
        <charset val="77"/>
        <scheme val="none"/>
      </font>
      <numFmt numFmtId="12" formatCode="&quot;$&quot;#,##0.00_);[Red]\(&quot;$&quot;#,##0.00\)"/>
      <fill>
        <patternFill patternType="solid">
          <fgColor rgb="FF000000"/>
          <bgColor rgb="FFFFFFFF"/>
        </patternFill>
      </fill>
      <alignment horizontal="general" vertical="bottom" textRotation="0" wrapText="1"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i val="0"/>
        <strike val="0"/>
        <condense val="0"/>
        <extend val="0"/>
        <outline val="0"/>
        <shadow val="0"/>
        <u val="none"/>
        <vertAlign val="baseline"/>
        <sz val="10"/>
        <color rgb="FF656565"/>
        <name val="Poppins"/>
        <charset val="77"/>
        <scheme val="none"/>
      </font>
      <numFmt numFmtId="12" formatCode="&quot;$&quot;#,##0.00_);[Red]\(&quot;$&quot;#,##0.00\)"/>
      <fill>
        <patternFill patternType="solid">
          <fgColor rgb="FF000000"/>
          <bgColor rgb="FFFFFFFF"/>
        </patternFill>
      </fill>
      <alignment horizontal="general" vertical="bottom" textRotation="0" wrapText="1" indent="0" justifyLastLine="0" shrinkToFit="0" readingOrder="0"/>
      <border diagonalUp="0" diagonalDown="0">
        <left style="thin">
          <color rgb="FFDDDDDD"/>
        </left>
        <right style="thin">
          <color rgb="FFDDDDDD"/>
        </right>
        <top style="thin">
          <color rgb="FFDDDDDD"/>
        </top>
        <bottom style="thin">
          <color rgb="FFDDDDDD"/>
        </bottom>
        <vertical/>
        <horizontal/>
      </border>
    </dxf>
  </dxfs>
  <tableStyles count="0" defaultTableStyle="TableStyleMedium9" defaultPivotStyle="PivotStyleLight16"/>
  <colors>
    <mruColors>
      <color rgb="FF11F7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Loan Impact Overview</a:t>
            </a:r>
          </a:p>
        </c:rich>
      </c:tx>
      <c:overlay val="0"/>
    </c:title>
    <c:autoTitleDeleted val="0"/>
    <c:plotArea>
      <c:layout/>
      <c:barChart>
        <c:barDir val="col"/>
        <c:grouping val="clustered"/>
        <c:varyColors val="0"/>
        <c:ser>
          <c:idx val="0"/>
          <c:order val="0"/>
          <c:spPr>
            <a:ln>
              <a:prstDash val="solid"/>
            </a:ln>
          </c:spPr>
          <c:invertIfNegative val="0"/>
          <c:cat>
            <c:numRef>
              <c:f>'Summary Chart'!$A$12:$A$16</c:f>
              <c:numCache>
                <c:formatCode>General</c:formatCode>
                <c:ptCount val="5"/>
              </c:numCache>
            </c:numRef>
          </c:cat>
          <c:val>
            <c:numRef>
              <c:f>'Summary Chart'!$B$12:$B$16</c:f>
              <c:numCache>
                <c:formatCode>General</c:formatCode>
                <c:ptCount val="5"/>
              </c:numCache>
            </c:numRef>
          </c:val>
          <c:extLst>
            <c:ext xmlns:c16="http://schemas.microsoft.com/office/drawing/2014/chart" uri="{C3380CC4-5D6E-409C-BE32-E72D297353CC}">
              <c16:uniqueId val="{00000000-8E21-432F-8F68-E4EB9EC621C6}"/>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Loan Metrics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Values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t>LOAN OVERVIEW</a:t>
            </a:r>
          </a:p>
        </c:rich>
      </c:tx>
      <c:overlay val="0"/>
    </c:title>
    <c:autoTitleDeleted val="0"/>
    <c:plotArea>
      <c:layout/>
      <c:barChart>
        <c:barDir val="col"/>
        <c:grouping val="clustered"/>
        <c:varyColors val="0"/>
        <c:ser>
          <c:idx val="0"/>
          <c:order val="0"/>
          <c:tx>
            <c:strRef>
              <c:f>{"NEW MONTHLY PAYMETS"}</c:f>
              <c:strCache>
                <c:ptCount val="1"/>
                <c:pt idx="0">
                  <c:v>NEW MONTHLY PAYMETS</c:v>
                </c:pt>
              </c:strCache>
            </c:strRef>
          </c:tx>
          <c:spPr>
            <a:solidFill>
              <a:srgbClr val="0070C0"/>
            </a:solidFill>
          </c:spPr>
          <c:invertIfNegative val="0"/>
          <c:val>
            <c:numRef>
              <c:f>'Debt Summary'!C12</c:f>
              <c:numCache>
                <c:formatCode>"$"#,##0.00</c:formatCode>
                <c:ptCount val="1"/>
                <c:pt idx="0">
                  <c:v>2211.3599999999997</c:v>
                </c:pt>
              </c:numCache>
            </c:numRef>
          </c:val>
          <c:extLst>
            <c:ext xmlns:c16="http://schemas.microsoft.com/office/drawing/2014/chart" uri="{C3380CC4-5D6E-409C-BE32-E72D297353CC}">
              <c16:uniqueId val="{0000001D-C86B-45AF-9FBB-2595A67C7948}"/>
            </c:ext>
          </c:extLst>
        </c:ser>
        <c:ser>
          <c:idx val="1"/>
          <c:order val="2"/>
          <c:tx>
            <c:strRef>
              <c:f>{"OLD MONTHLY PAYMENTS"}</c:f>
              <c:strCache>
                <c:ptCount val="1"/>
                <c:pt idx="0">
                  <c:v>OLD MONTHLY PAYMENTS</c:v>
                </c:pt>
              </c:strCache>
            </c:strRef>
          </c:tx>
          <c:spPr>
            <a:solidFill>
              <a:srgbClr val="FF0000"/>
            </a:solidFill>
          </c:spPr>
          <c:invertIfNegative val="0"/>
          <c:val>
            <c:numRef>
              <c:f>'Debt Summary'!C11</c:f>
              <c:numCache>
                <c:formatCode>"$"#,##0.00</c:formatCode>
                <c:ptCount val="1"/>
                <c:pt idx="0">
                  <c:v>2470</c:v>
                </c:pt>
              </c:numCache>
            </c:numRef>
          </c:val>
          <c:extLst>
            <c:ext xmlns:c16="http://schemas.microsoft.com/office/drawing/2014/chart" uri="{C3380CC4-5D6E-409C-BE32-E72D297353CC}">
              <c16:uniqueId val="{0000001E-C86B-45AF-9FBB-2595A67C7948}"/>
            </c:ext>
          </c:extLst>
        </c:ser>
        <c:dLbls>
          <c:showLegendKey val="0"/>
          <c:showVal val="0"/>
          <c:showCatName val="0"/>
          <c:showSerName val="0"/>
          <c:showPercent val="0"/>
          <c:showBubbleSize val="0"/>
        </c:dLbls>
        <c:gapWidth val="165"/>
        <c:axId val="10"/>
        <c:axId val="100"/>
      </c:barChart>
      <c:barChart>
        <c:barDir val="col"/>
        <c:grouping val="clustered"/>
        <c:varyColors val="0"/>
        <c:ser>
          <c:idx val="2"/>
          <c:order val="1"/>
          <c:tx>
            <c:strRef>
              <c:f>{"MONTHLY SAVINGS "}</c:f>
              <c:strCache>
                <c:ptCount val="1"/>
                <c:pt idx="0">
                  <c:v>MONTHLY SAVINGS </c:v>
                </c:pt>
              </c:strCache>
            </c:strRef>
          </c:tx>
          <c:spPr>
            <a:solidFill>
              <a:srgbClr val="00B050"/>
            </a:solidFill>
          </c:spPr>
          <c:invertIfNegative val="0"/>
          <c:val>
            <c:numRef>
              <c:f>'Debt Summary'!C13</c:f>
              <c:numCache>
                <c:formatCode>"$"#,##0.00</c:formatCode>
                <c:ptCount val="1"/>
                <c:pt idx="0">
                  <c:v>258.64000000000033</c:v>
                </c:pt>
              </c:numCache>
            </c:numRef>
          </c:val>
          <c:extLst>
            <c:ext xmlns:c16="http://schemas.microsoft.com/office/drawing/2014/chart" uri="{C3380CC4-5D6E-409C-BE32-E72D297353CC}">
              <c16:uniqueId val="{0000001F-C86B-45AF-9FBB-2595A67C7948}"/>
            </c:ext>
          </c:extLst>
        </c:ser>
        <c:dLbls>
          <c:showLegendKey val="0"/>
          <c:showVal val="0"/>
          <c:showCatName val="0"/>
          <c:showSerName val="0"/>
          <c:showPercent val="0"/>
          <c:showBubbleSize val="0"/>
        </c:dLbls>
        <c:gapWidth val="165"/>
        <c:axId val="1685051400"/>
        <c:axId val="1685036040"/>
      </c:barChart>
      <c:catAx>
        <c:axId val="10"/>
        <c:scaling>
          <c:orientation val="minMax"/>
        </c:scaling>
        <c:delete val="1"/>
        <c:axPos val="b"/>
        <c:title>
          <c:tx>
            <c:rich>
              <a:bodyPr/>
              <a:lstStyle/>
              <a:p>
                <a:pPr>
                  <a:defRPr/>
                </a:pPr>
                <a:r>
                  <a:rPr lang="en-US"/>
                  <a:t>Payment Amount</a:t>
                </a:r>
              </a:p>
            </c:rich>
          </c:tx>
          <c:overlay val="0"/>
        </c:title>
        <c:numFmt formatCode="0.0"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Dollars</a:t>
                </a:r>
              </a:p>
            </c:rich>
          </c:tx>
          <c:overlay val="0"/>
        </c:title>
        <c:numFmt formatCode="&quot;$&quot;#,##0.00" sourceLinked="1"/>
        <c:majorTickMark val="none"/>
        <c:minorTickMark val="none"/>
        <c:tickLblPos val="nextTo"/>
        <c:crossAx val="10"/>
        <c:crosses val="autoZero"/>
        <c:crossBetween val="between"/>
      </c:valAx>
      <c:valAx>
        <c:axId val="1685036040"/>
        <c:scaling>
          <c:orientation val="minMax"/>
        </c:scaling>
        <c:delete val="0"/>
        <c:axPos val="r"/>
        <c:numFmt formatCode="&quot;$&quot;#,##0.00" sourceLinked="1"/>
        <c:majorTickMark val="out"/>
        <c:minorTickMark val="none"/>
        <c:tickLblPos val="nextTo"/>
        <c:crossAx val="1685051400"/>
        <c:crosses val="max"/>
        <c:crossBetween val="between"/>
      </c:valAx>
      <c:catAx>
        <c:axId val="1685051400"/>
        <c:scaling>
          <c:orientation val="minMax"/>
        </c:scaling>
        <c:delete val="1"/>
        <c:axPos val="b"/>
        <c:numFmt formatCode="0.0" sourceLinked="1"/>
        <c:majorTickMark val="out"/>
        <c:minorTickMark val="none"/>
        <c:tickLblPos val="nextTo"/>
        <c:crossAx val="1685036040"/>
        <c:crosses val="autoZero"/>
        <c:auto val="1"/>
        <c:lblAlgn val="ctr"/>
        <c:lblOffset val="100"/>
        <c:noMultiLvlLbl val="0"/>
      </c:catAx>
      <c:dTable>
        <c:showHorzBorder val="1"/>
        <c:showVertBorder val="1"/>
        <c:showOutline val="1"/>
        <c:showKeys val="1"/>
      </c:dTable>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352425</xdr:colOff>
      <xdr:row>17</xdr:row>
      <xdr:rowOff>0</xdr:rowOff>
    </xdr:from>
    <xdr:to>
      <xdr:col>12</xdr:col>
      <xdr:colOff>266025</xdr:colOff>
      <xdr:row>36</xdr:row>
      <xdr:rowOff>161475</xdr:rowOff>
    </xdr:to>
    <xdr:graphicFrame macro="">
      <xdr:nvGraphicFramePr>
        <xdr:cNvPr id="4" name="Chart 3">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10583</xdr:rowOff>
    </xdr:from>
    <xdr:to>
      <xdr:col>3</xdr:col>
      <xdr:colOff>1058</xdr:colOff>
      <xdr:row>38</xdr:row>
      <xdr:rowOff>123825</xdr:rowOff>
    </xdr:to>
    <xdr:graphicFrame macro="">
      <xdr:nvGraphicFramePr>
        <xdr:cNvPr id="7"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40</xdr:row>
      <xdr:rowOff>9525</xdr:rowOff>
    </xdr:from>
    <xdr:to>
      <xdr:col>3</xdr:col>
      <xdr:colOff>0</xdr:colOff>
      <xdr:row>54</xdr:row>
      <xdr:rowOff>47625</xdr:rowOff>
    </xdr:to>
    <xdr:sp macro="" textlink="">
      <xdr:nvSpPr>
        <xdr:cNvPr id="17" name="TextBox 2">
          <a:extLst>
            <a:ext uri="{FF2B5EF4-FFF2-40B4-BE49-F238E27FC236}">
              <a16:creationId xmlns:a16="http://schemas.microsoft.com/office/drawing/2014/main" id="{7691D6AB-5705-813A-FB92-96FDCE0DF8B6}"/>
            </a:ext>
            <a:ext uri="{147F2762-F138-4A5C-976F-8EAC2B608ADB}">
              <a16:predDERef xmlns:a16="http://schemas.microsoft.com/office/drawing/2014/main" pred="{00000000-0008-0000-0100-000002000000}"/>
            </a:ext>
          </a:extLst>
        </xdr:cNvPr>
        <xdr:cNvSpPr txBox="1"/>
      </xdr:nvSpPr>
      <xdr:spPr>
        <a:xfrm>
          <a:off x="66675" y="9820275"/>
          <a:ext cx="15297150" cy="2705100"/>
        </a:xfrm>
        <a:prstGeom prst="rect">
          <a:avLst/>
        </a:prstGeom>
        <a:solidFill>
          <a:schemeClr val="lt1"/>
        </a:solidFill>
        <a:ln w="9525" cmpd="sng">
          <a:solidFill>
            <a:schemeClr val="tx1"/>
          </a:solidFill>
        </a:ln>
      </xdr:spPr>
      <xdr:txBody>
        <a:bodyPr spcFirstLastPara="0" vertOverflow="clip" horzOverflow="clip" wrap="square" lIns="91440" tIns="45720" rIns="91440" bIns="45720" rtlCol="0" anchor="t">
          <a:noAutofit/>
        </a:bodyPr>
        <a:lstStyle/>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Mykoal DeShazo </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Executive Loan Officer </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NMLS# 1912347</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(623) 280-8351 (Direct)</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MDESHAZO@INDEPENDENCEHL.COM</a:t>
          </a:r>
        </a:p>
        <a:p>
          <a:pPr marL="0" indent="0" algn="ct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Company NMLS# 2524174 - For licensing information, go to: www.nmlsconsumeraccess.org</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Arizona Mortgage Banker License# 1048872</a:t>
          </a: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4343 North Scottsdale Road, Suite 100, Scottsdale, AZ 85251</a:t>
          </a:r>
          <a:endParaRPr lang="en-US" sz="11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1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1" i="0" u="sng"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contents in this document including the loan terms, interest rate, and payment amounts shown are based on preliminary estimates and are subject to change pending credit approval, income verification, and final loan-to-value calculations. This is a general loan overview for informational purposes only. A formal Loan Estimate, as required by law, will be provided within three business days of receiving a completed loan application. Final loan terms, including interest rate, payment, loan amount, and closing costs, may vary based on verified information, actual payoffs, and closing disclosures.</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endParaRPr lang="en-US" sz="11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This is not a commitment to lend. The contents of this message may be confidential. If you are not the intended recipient, do not disseminate, disclose, copy or use this message without the permission of the author. Nothing contained in this message or in any attachment shall satisfy the requirements for a writing, and nothing contained herein shall constitute a contract or electronic signature. If this message has been received in error, please delete it immediately.</a:t>
          </a:r>
          <a:endParaRPr lang="en-US" sz="1100" b="0" i="0" u="none" strike="noStrike">
            <a:solidFill>
              <a:srgbClr val="000000"/>
            </a:solidFill>
            <a:latin typeface="+mn-lt"/>
            <a:ea typeface="+mn-lt"/>
            <a:cs typeface="+mn-lt"/>
          </a:endParaRPr>
        </a:p>
        <a:p>
          <a:pPr marL="0" indent="0" algn="l"/>
          <a:endParaRPr lang="en-US" sz="1100">
            <a:latin typeface="+mn-lt"/>
            <a:ea typeface="+mn-lt"/>
            <a:cs typeface="+mn-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btPayoff" displayName="DebtPayoff" ref="A1:C16">
  <autoFilter ref="A1:C16" xr:uid="{00000000-0009-0000-0100-000001000000}"/>
  <tableColumns count="3">
    <tableColumn id="1" xr3:uid="{00000000-0010-0000-0000-000001000000}" name="Creditor"/>
    <tableColumn id="2" xr3:uid="{00000000-0010-0000-0000-000002000000}" name="Monthly Payment ($)" dataDxfId="1"/>
    <tableColumn id="3" xr3:uid="{00000000-0010-0000-0000-000003000000}" name="Balance ($)"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B3" sqref="B3"/>
    </sheetView>
  </sheetViews>
  <sheetFormatPr defaultRowHeight="15" x14ac:dyDescent="0.2"/>
  <cols>
    <col min="1" max="1" width="26.23046875" customWidth="1"/>
    <col min="2" max="3" width="23.9453125" customWidth="1"/>
  </cols>
  <sheetData>
    <row r="1" spans="1:3" x14ac:dyDescent="0.2">
      <c r="A1" s="1" t="s">
        <v>0</v>
      </c>
      <c r="B1" s="1" t="s">
        <v>1</v>
      </c>
      <c r="C1" s="1" t="s">
        <v>2</v>
      </c>
    </row>
    <row r="2" spans="1:3" ht="15.75" x14ac:dyDescent="0.25">
      <c r="A2" s="14" t="s">
        <v>3</v>
      </c>
      <c r="B2" s="16">
        <v>1970</v>
      </c>
      <c r="C2" s="15">
        <v>267000</v>
      </c>
    </row>
    <row r="3" spans="1:3" ht="15.75" x14ac:dyDescent="0.25">
      <c r="A3" s="14" t="s">
        <v>4</v>
      </c>
      <c r="B3" s="16">
        <v>500</v>
      </c>
      <c r="C3" s="15"/>
    </row>
    <row r="4" spans="1:3" ht="15.75" x14ac:dyDescent="0.25">
      <c r="A4" s="14" t="s">
        <v>29</v>
      </c>
      <c r="B4" s="16"/>
      <c r="C4" s="15"/>
    </row>
    <row r="5" spans="1:3" ht="15.75" x14ac:dyDescent="0.25">
      <c r="A5" s="14"/>
      <c r="B5" s="16"/>
      <c r="C5" s="15"/>
    </row>
    <row r="6" spans="1:3" ht="15.75" x14ac:dyDescent="0.25">
      <c r="A6" s="14"/>
      <c r="B6" s="16"/>
      <c r="C6" s="15"/>
    </row>
    <row r="7" spans="1:3" ht="15.75" x14ac:dyDescent="0.25">
      <c r="A7" s="14"/>
      <c r="B7" s="16"/>
      <c r="C7" s="15"/>
    </row>
    <row r="8" spans="1:3" ht="15.75" x14ac:dyDescent="0.25">
      <c r="A8" s="14"/>
      <c r="B8" s="16"/>
      <c r="C8" s="15"/>
    </row>
    <row r="9" spans="1:3" ht="15.75" x14ac:dyDescent="0.25">
      <c r="A9" s="14"/>
      <c r="B9" s="16"/>
      <c r="C9" s="15"/>
    </row>
    <row r="10" spans="1:3" ht="15.75" x14ac:dyDescent="0.25">
      <c r="A10" s="14"/>
      <c r="B10" s="16"/>
      <c r="C10" s="15"/>
    </row>
    <row r="11" spans="1:3" ht="15.75" x14ac:dyDescent="0.25">
      <c r="A11" s="14"/>
      <c r="B11" s="16"/>
      <c r="C11" s="15"/>
    </row>
    <row r="12" spans="1:3" ht="15.75" x14ac:dyDescent="0.25">
      <c r="A12" s="14"/>
      <c r="B12" s="16"/>
      <c r="C12" s="15"/>
    </row>
    <row r="13" spans="1:3" ht="15.75" x14ac:dyDescent="0.25">
      <c r="A13" s="14"/>
      <c r="B13" s="16"/>
      <c r="C13" s="15"/>
    </row>
    <row r="14" spans="1:3" ht="15.75" x14ac:dyDescent="0.25">
      <c r="A14" s="14"/>
      <c r="B14" s="16"/>
      <c r="C14" s="15"/>
    </row>
    <row r="15" spans="1:3" ht="15.75" x14ac:dyDescent="0.25">
      <c r="A15" s="14"/>
      <c r="B15" s="16"/>
      <c r="C15" s="15"/>
    </row>
    <row r="16" spans="1:3" ht="15.75" x14ac:dyDescent="0.25">
      <c r="A16" s="14"/>
      <c r="B16" s="16"/>
      <c r="C16" s="15"/>
    </row>
    <row r="17" spans="1:3" x14ac:dyDescent="0.2">
      <c r="A17" s="1" t="s">
        <v>5</v>
      </c>
      <c r="B17" s="1">
        <f>SUM(B2:B16)</f>
        <v>2470</v>
      </c>
      <c r="C17" s="2"/>
    </row>
    <row r="18" spans="1:3" x14ac:dyDescent="0.2">
      <c r="A18" s="1" t="s">
        <v>6</v>
      </c>
      <c r="B18" s="1"/>
      <c r="C18" s="1">
        <f>SUM(C2:C16)</f>
        <v>267000</v>
      </c>
    </row>
  </sheetData>
  <sheetProtection sheet="1" objects="1" scenarios="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opLeftCell="C1" zoomScale="70" zoomScaleNormal="70" workbookViewId="0">
      <selection activeCell="B31" sqref="B31"/>
    </sheetView>
  </sheetViews>
  <sheetFormatPr defaultRowHeight="15" x14ac:dyDescent="0.2"/>
  <cols>
    <col min="1" max="10" width="23.9453125" customWidth="1"/>
  </cols>
  <sheetData>
    <row r="1" spans="1:10" x14ac:dyDescent="0.2">
      <c r="A1" s="9" t="s">
        <v>7</v>
      </c>
      <c r="B1" s="10" t="s">
        <v>8</v>
      </c>
      <c r="C1" s="10" t="s">
        <v>9</v>
      </c>
      <c r="D1" s="10" t="s">
        <v>10</v>
      </c>
      <c r="E1" s="10" t="s">
        <v>11</v>
      </c>
      <c r="F1" s="10" t="s">
        <v>12</v>
      </c>
      <c r="G1" s="10" t="s">
        <v>13</v>
      </c>
      <c r="H1" s="10" t="s">
        <v>14</v>
      </c>
      <c r="I1" s="10" t="s">
        <v>15</v>
      </c>
      <c r="J1" s="10" t="s">
        <v>16</v>
      </c>
    </row>
    <row r="2" spans="1:10" x14ac:dyDescent="0.2">
      <c r="A2" s="2">
        <v>267000</v>
      </c>
      <c r="B2" s="4">
        <v>30</v>
      </c>
      <c r="C2" s="6">
        <v>7</v>
      </c>
      <c r="D2" s="5">
        <f>IF(AND(ISNUMBER(A2), ISNUMBER(B2), ISNUMBER(C2)), ROUND(PMT(C2/1200, B2*12, -A2), 2), "")</f>
        <v>1776.36</v>
      </c>
      <c r="E2" s="5">
        <v>435</v>
      </c>
      <c r="F2" s="5">
        <f>IF(AND(ISNUMBER(D2), ISNUMBER(E2)), D2 + E2, "")</f>
        <v>2211.3599999999997</v>
      </c>
      <c r="G2" s="5">
        <f>'Summary Chart'!B8</f>
        <v>258.64000000000033</v>
      </c>
      <c r="H2" s="8">
        <f>IF(AND(ISNUMBER(A2), ISNUMBER(C2), ISNUMBER(D2), ISNUMBER(G2), G2&gt;0), ROUND(NPER(C2/1200, -(D2+G2), A2)/12, 1), "")</f>
        <v>20.8</v>
      </c>
      <c r="I2" s="5">
        <f>IF(AND(ISNUMBER(D2), ISNUMBER(B2), ISNUMBER(H2), ISNUMBER(G2), G2&gt;0), ROUND((D2*B2*12 - A2) - ((D2+G2)*H2*12 - A2), 2), "")</f>
        <v>131553.60000000001</v>
      </c>
      <c r="J2" s="6">
        <f>IF(AND(ISNUMBER(D2), ISNUMBER(B2), ISNUMBER(A2), ISNUMBER(C2), ISNUMBER(I2), I2&gt;0), ROUND(C2 - ((I2 / (D2*B2*12 - A2)) * C2), 3), "")</f>
        <v>4.5279999999999996</v>
      </c>
    </row>
  </sheetData>
  <sheetProtection sheet="1" objects="1" scenarios="1"/>
  <protectedRanges>
    <protectedRange sqref="A1:C1048576 G7 E1:E6 E8:E1048576" name="Range1"/>
  </protectedRange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B3" sqref="B3"/>
    </sheetView>
  </sheetViews>
  <sheetFormatPr defaultRowHeight="15" x14ac:dyDescent="0.2"/>
  <cols>
    <col min="1" max="1" width="29.99609375" customWidth="1"/>
    <col min="2" max="2" width="40.0859375" customWidth="1"/>
  </cols>
  <sheetData>
    <row r="1" spans="1:2" x14ac:dyDescent="0.2">
      <c r="A1" s="11" t="s">
        <v>17</v>
      </c>
      <c r="B1" s="11" t="s">
        <v>18</v>
      </c>
    </row>
    <row r="2" spans="1:2" x14ac:dyDescent="0.2">
      <c r="A2" s="1" t="s">
        <v>19</v>
      </c>
      <c r="B2" s="2">
        <f>'Loan Calculator'!D2*'Loan Calculator'!B2*12 - 'Loan Calculator'!A2</f>
        <v>372489.6</v>
      </c>
    </row>
    <row r="3" spans="1:2" x14ac:dyDescent="0.2">
      <c r="A3" s="1" t="s">
        <v>20</v>
      </c>
      <c r="B3" s="2">
        <f>'Loan Calculator'!I2</f>
        <v>131553.60000000001</v>
      </c>
    </row>
    <row r="4" spans="1:2" x14ac:dyDescent="0.2">
      <c r="A4" s="1" t="s">
        <v>21</v>
      </c>
      <c r="B4" s="2">
        <f>B2-B3</f>
        <v>240935.99999999997</v>
      </c>
    </row>
    <row r="6" spans="1:2" x14ac:dyDescent="0.2">
      <c r="A6" s="11" t="s">
        <v>22</v>
      </c>
      <c r="B6" s="2">
        <f>'Debt Payoff Calculator'!B17</f>
        <v>2470</v>
      </c>
    </row>
    <row r="7" spans="1:2" x14ac:dyDescent="0.2">
      <c r="A7" s="11" t="s">
        <v>23</v>
      </c>
      <c r="B7" s="2">
        <f>'Loan Calculator'!F2</f>
        <v>2211.3599999999997</v>
      </c>
    </row>
    <row r="8" spans="1:2" x14ac:dyDescent="0.2">
      <c r="A8" s="11" t="s">
        <v>24</v>
      </c>
      <c r="B8" s="2">
        <f>B6-B7</f>
        <v>258.64000000000033</v>
      </c>
    </row>
    <row r="9" spans="1:2" x14ac:dyDescent="0.2">
      <c r="A9" s="11" t="s">
        <v>25</v>
      </c>
      <c r="B9" s="7">
        <f>'Loan Calculator'!J2</f>
        <v>4.5279999999999996</v>
      </c>
    </row>
    <row r="10" spans="1:2" x14ac:dyDescent="0.2">
      <c r="A10" s="11" t="s">
        <v>26</v>
      </c>
      <c r="B10" s="3">
        <f>'Loan Calculator'!H2</f>
        <v>20.8</v>
      </c>
    </row>
  </sheetData>
  <sheetProtection sheet="1" objects="1" scenarios="1"/>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40"/>
  <sheetViews>
    <sheetView tabSelected="1" workbookViewId="0">
      <selection activeCell="D19" sqref="D19"/>
    </sheetView>
  </sheetViews>
  <sheetFormatPr defaultRowHeight="15" x14ac:dyDescent="0.2"/>
  <cols>
    <col min="1" max="2" width="85.69140625" style="22" customWidth="1"/>
    <col min="3" max="3" width="59.0546875" style="22" customWidth="1"/>
    <col min="4" max="16384" width="8.609375" style="30"/>
  </cols>
  <sheetData>
    <row r="1" spans="1:3" ht="22.5" customHeight="1" x14ac:dyDescent="0.2">
      <c r="A1" s="23" t="s">
        <v>50</v>
      </c>
      <c r="B1" s="23" t="s">
        <v>46</v>
      </c>
      <c r="C1" s="17" t="s">
        <v>27</v>
      </c>
    </row>
    <row r="2" spans="1:3" ht="21" x14ac:dyDescent="0.2">
      <c r="A2" s="12" t="s">
        <v>8</v>
      </c>
      <c r="B2" s="12"/>
      <c r="C2" s="20">
        <f>'Loan Calculator'!B2</f>
        <v>30</v>
      </c>
    </row>
    <row r="3" spans="1:3" ht="21" x14ac:dyDescent="0.2">
      <c r="A3" s="12" t="s">
        <v>9</v>
      </c>
      <c r="B3" s="12"/>
      <c r="C3" s="21">
        <f>'Loan Calculator'!C2</f>
        <v>7</v>
      </c>
    </row>
    <row r="4" spans="1:3" ht="21" x14ac:dyDescent="0.2">
      <c r="A4" s="12" t="s">
        <v>49</v>
      </c>
      <c r="B4" s="12"/>
      <c r="C4" s="13">
        <f>'Summary Chart'!B7</f>
        <v>2211.3599999999997</v>
      </c>
    </row>
    <row r="5" spans="1:3" ht="18" customHeight="1" x14ac:dyDescent="0.3">
      <c r="A5" s="33" t="s">
        <v>36</v>
      </c>
      <c r="B5" s="33"/>
      <c r="C5" s="33"/>
    </row>
    <row r="6" spans="1:3" ht="21" x14ac:dyDescent="0.3">
      <c r="A6" s="27" t="s">
        <v>31</v>
      </c>
      <c r="B6" s="27" t="s">
        <v>32</v>
      </c>
      <c r="C6" s="27" t="s">
        <v>33</v>
      </c>
    </row>
    <row r="7" spans="1:3" ht="21" x14ac:dyDescent="0.3">
      <c r="A7" s="26" t="s">
        <v>34</v>
      </c>
      <c r="B7" s="28">
        <v>247784</v>
      </c>
      <c r="C7" s="28">
        <v>1970</v>
      </c>
    </row>
    <row r="8" spans="1:3" ht="21" x14ac:dyDescent="0.3">
      <c r="A8" s="26"/>
      <c r="B8" s="30"/>
      <c r="C8" s="26"/>
    </row>
    <row r="9" spans="1:3" ht="24" customHeight="1" x14ac:dyDescent="0.2">
      <c r="A9" s="29" t="s">
        <v>35</v>
      </c>
      <c r="B9" s="18">
        <f>SUM(B7:B8)</f>
        <v>247784</v>
      </c>
      <c r="C9" s="18">
        <f>SUM(C7:C8)</f>
        <v>1970</v>
      </c>
    </row>
    <row r="10" spans="1:3" ht="21" x14ac:dyDescent="0.3">
      <c r="A10" s="33" t="s">
        <v>37</v>
      </c>
      <c r="B10" s="33"/>
      <c r="C10" s="33"/>
    </row>
    <row r="11" spans="1:3" ht="21" x14ac:dyDescent="0.2">
      <c r="A11" s="32" t="s">
        <v>48</v>
      </c>
      <c r="B11" s="12" t="s">
        <v>40</v>
      </c>
      <c r="C11" s="19">
        <f>'Summary Chart'!B6</f>
        <v>2470</v>
      </c>
    </row>
    <row r="12" spans="1:3" ht="21" x14ac:dyDescent="0.2">
      <c r="A12" s="31" t="s">
        <v>47</v>
      </c>
      <c r="B12" s="12" t="s">
        <v>41</v>
      </c>
      <c r="C12" s="19">
        <f>'Summary Chart'!B7</f>
        <v>2211.3599999999997</v>
      </c>
    </row>
    <row r="13" spans="1:3" ht="21" x14ac:dyDescent="0.2">
      <c r="A13" s="24" t="s">
        <v>24</v>
      </c>
      <c r="B13" s="12" t="s">
        <v>42</v>
      </c>
      <c r="C13" s="25">
        <f>'Summary Chart'!B8</f>
        <v>258.64000000000033</v>
      </c>
    </row>
    <row r="14" spans="1:3" ht="15.75" customHeight="1" x14ac:dyDescent="0.3">
      <c r="A14" s="33" t="s">
        <v>39</v>
      </c>
      <c r="B14" s="33"/>
      <c r="C14" s="33"/>
    </row>
    <row r="15" spans="1:3" ht="21" x14ac:dyDescent="0.2">
      <c r="A15" s="12" t="s">
        <v>43</v>
      </c>
      <c r="B15" s="12"/>
      <c r="C15" s="21">
        <f>'Summary Chart'!B9</f>
        <v>4.5279999999999996</v>
      </c>
    </row>
    <row r="16" spans="1:3" ht="21" x14ac:dyDescent="0.2">
      <c r="A16" s="12" t="s">
        <v>26</v>
      </c>
      <c r="B16" s="12"/>
      <c r="C16" s="20">
        <f>'Summary Chart'!B10</f>
        <v>20.8</v>
      </c>
    </row>
    <row r="17" spans="1:3" ht="21" x14ac:dyDescent="0.2">
      <c r="A17" s="12" t="s">
        <v>45</v>
      </c>
      <c r="B17" s="12"/>
      <c r="C17" s="13">
        <f>'Summary Chart'!B3</f>
        <v>131553.60000000001</v>
      </c>
    </row>
    <row r="18" spans="1:3" ht="15.75" customHeight="1" x14ac:dyDescent="0.3">
      <c r="A18" s="33" t="s">
        <v>38</v>
      </c>
      <c r="B18" s="33"/>
      <c r="C18" s="33"/>
    </row>
    <row r="19" spans="1:3" ht="21" x14ac:dyDescent="0.2">
      <c r="A19" s="12" t="s">
        <v>28</v>
      </c>
      <c r="B19" s="12" t="s">
        <v>51</v>
      </c>
      <c r="C19" s="13">
        <f>C11*2</f>
        <v>4940</v>
      </c>
    </row>
    <row r="20" spans="1:3" ht="21" x14ac:dyDescent="0.2">
      <c r="A20" s="12" t="s">
        <v>44</v>
      </c>
      <c r="B20" s="12"/>
      <c r="C20" s="13">
        <v>2000</v>
      </c>
    </row>
    <row r="21" spans="1:3" ht="21" x14ac:dyDescent="0.2">
      <c r="A21" s="12" t="s">
        <v>30</v>
      </c>
      <c r="B21" s="12"/>
      <c r="C21" s="13">
        <f>SUM(C19:C20)</f>
        <v>6940</v>
      </c>
    </row>
    <row r="39" spans="1:3" ht="7.5" customHeight="1" x14ac:dyDescent="0.2"/>
    <row r="40" spans="1:3" ht="8.25" customHeight="1" x14ac:dyDescent="0.3">
      <c r="A40" s="33"/>
      <c r="B40" s="33"/>
      <c r="C40" s="33"/>
    </row>
  </sheetData>
  <sheetProtection sheet="1" objects="1" scenarios="1"/>
  <mergeCells count="5">
    <mergeCell ref="A40:C40"/>
    <mergeCell ref="A18:C18"/>
    <mergeCell ref="A14:C14"/>
    <mergeCell ref="A10:C10"/>
    <mergeCell ref="A5:C5"/>
  </mergeCells>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Debt Payoff Calculator</vt:lpstr>
      <vt:lpstr>Loan Calculator</vt:lpstr>
      <vt:lpstr>Summary Chart</vt:lpstr>
      <vt:lpstr>Debt Summary</vt:lpstr>
      <vt:lpstr>Debt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Mykoal DeShazo</cp:lastModifiedBy>
  <cp:revision/>
  <dcterms:created xsi:type="dcterms:W3CDTF">2025-06-09T20:44:22Z</dcterms:created>
  <dcterms:modified xsi:type="dcterms:W3CDTF">2025-06-14T03:16:21Z</dcterms:modified>
  <cp:category/>
  <cp:contentStatus/>
</cp:coreProperties>
</file>